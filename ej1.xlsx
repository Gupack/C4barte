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67DE4D86-7FFB-4C1E-B08E-86A97DCB4239}" xr6:coauthVersionLast="47" xr6:coauthVersionMax="47" xr10:uidLastSave="{00000000-0000-0000-0000-000000000000}"/>
  <bookViews>
    <workbookView xWindow="-120" yWindow="-120" windowWidth="29040" windowHeight="15840" xr2:uid="{1606D183-0354-434B-918F-2F08FBBD65C5}"/>
  </bookViews>
  <sheets>
    <sheet name="Valoracion de cargo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3" i="1" l="1"/>
  <c r="I13" i="1"/>
  <c r="K13" i="1" s="1"/>
  <c r="L13" i="1" s="1"/>
  <c r="N12" i="1"/>
  <c r="I12" i="1"/>
  <c r="K12" i="1" s="1"/>
  <c r="L12" i="1" s="1"/>
  <c r="N11" i="1"/>
  <c r="I11" i="1"/>
  <c r="K11" i="1" s="1"/>
  <c r="L11" i="1" s="1"/>
  <c r="N10" i="1"/>
  <c r="I10" i="1"/>
  <c r="K10" i="1" s="1"/>
  <c r="L10" i="1" s="1"/>
  <c r="N9" i="1"/>
  <c r="I9" i="1"/>
  <c r="K9" i="1" s="1"/>
  <c r="L9" i="1" s="1"/>
  <c r="N8" i="1"/>
  <c r="I8" i="1"/>
  <c r="K8" i="1" s="1"/>
  <c r="L8" i="1" s="1"/>
  <c r="N7" i="1"/>
  <c r="I7" i="1"/>
  <c r="K7" i="1" s="1"/>
  <c r="L7" i="1" s="1"/>
  <c r="N6" i="1"/>
  <c r="I6" i="1"/>
  <c r="K6" i="1" s="1"/>
  <c r="L6" i="1" s="1"/>
  <c r="N5" i="1"/>
  <c r="I5" i="1"/>
  <c r="K5" i="1" s="1"/>
  <c r="L5" i="1" s="1"/>
  <c r="N4" i="1"/>
  <c r="I4" i="1"/>
  <c r="K4" i="1" s="1"/>
  <c r="L4" i="1" s="1"/>
  <c r="N3" i="1"/>
  <c r="I3" i="1"/>
  <c r="K3" i="1" s="1"/>
  <c r="L3" i="1" s="1"/>
  <c r="N2" i="1"/>
  <c r="I2" i="1"/>
  <c r="K2" i="1" s="1"/>
  <c r="K14" i="1" l="1"/>
  <c r="L2" i="1"/>
</calcChain>
</file>

<file path=xl/sharedStrings.xml><?xml version="1.0" encoding="utf-8"?>
<sst xmlns="http://schemas.openxmlformats.org/spreadsheetml/2006/main" count="26" uniqueCount="26">
  <si>
    <t>Cargo</t>
  </si>
  <si>
    <t>Formacion / Experiencia</t>
  </si>
  <si>
    <t>Ambito de ejecucion / Tamaño de la supervision</t>
  </si>
  <si>
    <t>RELACIONAMIENTO /  FRECUENCIA DE CONTACTO / TIPO DE  CONTACTADO</t>
  </si>
  <si>
    <t>SOLUCIÓN DE PROBLEMAS / TENDENCIA</t>
  </si>
  <si>
    <t>GRADO DE AFECTACIÓN /  RESPONSABILIDAD SOBRE RESULTADOS</t>
  </si>
  <si>
    <t xml:space="preserve">GRADOS DE AUTONOMÍA / AUTORIDAD </t>
  </si>
  <si>
    <t>TOTAL</t>
  </si>
  <si>
    <t>SALARIO ACTUAL</t>
  </si>
  <si>
    <t>VALOR POR PUNTO</t>
  </si>
  <si>
    <t>ESTADO SALARIAL</t>
  </si>
  <si>
    <t>SALARIO MERCADO</t>
  </si>
  <si>
    <t>COMPARATIVO</t>
  </si>
  <si>
    <t>S</t>
  </si>
  <si>
    <t>Contador</t>
  </si>
  <si>
    <t>Jefe de Planta</t>
  </si>
  <si>
    <t>Director comercial</t>
  </si>
  <si>
    <t>Analista de Inventarios</t>
  </si>
  <si>
    <t>Analista de Cartera</t>
  </si>
  <si>
    <t>Asesor comercial</t>
  </si>
  <si>
    <t>Logístico</t>
  </si>
  <si>
    <t>Aux Contable</t>
  </si>
  <si>
    <t>Facturacion</t>
  </si>
  <si>
    <t>Supervisor de Planta</t>
  </si>
  <si>
    <t>Operario Planta</t>
  </si>
  <si>
    <t>Auxiliar Talento Humano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</si>
</sst>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1" fontId="4" fillId="0" borderId="1" xfId="1" applyFont="1" applyBorder="1" applyAlignment="1">
      <alignment horizontal="center" vertical="center" wrapText="1"/>
    </xf>
    <xf numFmtId="43" fontId="4" fillId="0" borderId="1" xfId="0" applyNumberFormat="1" applyFont="1" applyBorder="1" applyAlignment="1">
      <alignment horizontal="center" vertical="center" wrapText="1"/>
    </xf>
    <xf numFmtId="10" fontId="4" fillId="0" borderId="1" xfId="2" applyNumberFormat="1" applyFont="1" applyBorder="1" applyAlignment="1">
      <alignment horizontal="center" vertical="center" wrapText="1"/>
    </xf>
    <xf numFmtId="9" fontId="4" fillId="0" borderId="1" xfId="2" applyFont="1" applyBorder="1" applyAlignment="1">
      <alignment horizontal="center" vertical="center" wrapText="1"/>
    </xf>
    <xf numFmtId="43" fontId="0" fillId="0" borderId="0" xfId="0" applyNumberFormat="1"/>
    <xf numFmtId="1" fontId="4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1" fontId="4" fillId="0" borderId="0" xfId="1" applyFont="1" applyBorder="1" applyAlignment="1">
      <alignment horizontal="center" vertical="center" wrapText="1"/>
    </xf>
    <xf numFmtId="43" fontId="4" fillId="0" borderId="0" xfId="0" applyNumberFormat="1" applyFont="1" applyAlignment="1">
      <alignment horizontal="center" vertical="center" wrapText="1"/>
    </xf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O"/>
              <a:t>Curva de Equidad: Valoración del Cargo vs. Salario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450103793913812E-2"/>
          <c:y val="0.12259341346339334"/>
          <c:w val="0.89923499205463109"/>
          <c:h val="0.7834659794490778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'Valoracion de cargos'!$J$1</c:f>
              <c:strCache>
                <c:ptCount val="1"/>
                <c:pt idx="0">
                  <c:v>SALARIO ACTUAL</c:v>
                </c:pt>
              </c:strCache>
            </c:strRef>
          </c:tx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2.160843077977451E-2"/>
                  <c:y val="5.9977452843036377E-2"/>
                </c:manualLayout>
              </c:layout>
              <c:tx>
                <c:rich>
                  <a:bodyPr/>
                  <a:lstStyle/>
                  <a:p>
                    <a:fld id="{635BD6BF-736D-4BDF-96E6-02D68D8E51B5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340F72B0-291C-453B-8DB1-64FA8484C928}" type="YVALUE">
                      <a:rPr lang="en-US" baseline="0"/>
                      <a:pPr/>
                      <a:t>[VALOR DE Y]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E397-4BCD-A161-A26E6414E688}"/>
                </c:ext>
              </c:extLst>
            </c:dLbl>
            <c:dLbl>
              <c:idx val="1"/>
              <c:layout>
                <c:manualLayout>
                  <c:x val="-3.3401325526271439E-2"/>
                  <c:y val="5.4557890680488157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9FEB363-107C-4F8C-8E29-0CCE114A6465}" type="CELLRANGE">
                      <a:rPr lang="en-US" baseline="0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; </a:t>
                    </a:r>
                    <a:fld id="{9F2F5035-6033-479B-9444-20347CEE8295}" type="YVALUE">
                      <a:rPr lang="en-US" baseline="0"/>
                      <a:pPr>
                        <a:defRPr/>
                      </a:pPr>
                      <a:t>[VALOR DE Y]</a:t>
                    </a:fld>
                    <a:endParaRPr lang="en-US" baseline="0"/>
                  </a:p>
                </c:rich>
              </c:tx>
              <c:spPr>
                <a:solidFill>
                  <a:sysClr val="windowText" lastClr="000000">
                    <a:lumMod val="15000"/>
                    <a:lumOff val="85000"/>
                  </a:sysClr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5.9370611411568609E-2"/>
                      <c:h val="5.2928901339088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397-4BCD-A161-A26E6414E688}"/>
                </c:ext>
              </c:extLst>
            </c:dLbl>
            <c:dLbl>
              <c:idx val="2"/>
              <c:layout>
                <c:manualLayout>
                  <c:x val="-3.3876716147282208E-2"/>
                  <c:y val="-5.8207085743320286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74AE350-20E1-483E-9956-6832077F75BA}" type="CELLRANGE">
                      <a:rPr lang="en-US" baseline="0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; </a:t>
                    </a:r>
                    <a:fld id="{DDBFE44B-8FA7-4036-BFCC-816A5EFC8DBD}" type="YVALUE">
                      <a:rPr lang="en-US" baseline="0"/>
                      <a:pPr>
                        <a:defRPr/>
                      </a:pPr>
                      <a:t>[VALOR DE Y]</a:t>
                    </a:fld>
                    <a:endParaRPr lang="en-US" baseline="0"/>
                  </a:p>
                </c:rich>
              </c:tx>
              <c:spPr>
                <a:solidFill>
                  <a:sysClr val="windowText" lastClr="000000">
                    <a:lumMod val="15000"/>
                    <a:lumOff val="85000"/>
                  </a:sysClr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6.1008399992284204E-2"/>
                      <c:h val="5.2928901339088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397-4BCD-A161-A26E6414E688}"/>
                </c:ext>
              </c:extLst>
            </c:dLbl>
            <c:dLbl>
              <c:idx val="3"/>
              <c:layout>
                <c:manualLayout>
                  <c:x val="-1.7753717225931796E-2"/>
                  <c:y val="6.7048968518595889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6F45741-96D3-446D-9E8C-074F7E8F74AA}" type="CELLRANGE">
                      <a:rPr lang="en-US" baseline="0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; </a:t>
                    </a:r>
                    <a:fld id="{2F36C477-D685-46E5-AB39-8679E746A2F1}" type="YVALUE">
                      <a:rPr lang="en-US" baseline="0"/>
                      <a:pPr>
                        <a:defRPr/>
                      </a:pPr>
                      <a:t>[VALOR DE Y]</a:t>
                    </a:fld>
                    <a:endParaRPr lang="en-US" baseline="0"/>
                  </a:p>
                </c:rich>
              </c:tx>
              <c:spPr>
                <a:solidFill>
                  <a:sysClr val="windowText" lastClr="000000">
                    <a:lumMod val="15000"/>
                    <a:lumOff val="85000"/>
                  </a:sysClr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5.0663198094050108E-2"/>
                      <c:h val="9.418592366089613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397-4BCD-A161-A26E6414E688}"/>
                </c:ext>
              </c:extLst>
            </c:dLbl>
            <c:dLbl>
              <c:idx val="4"/>
              <c:layout>
                <c:manualLayout>
                  <c:x val="-2.4152518761698806E-2"/>
                  <c:y val="5.844281627546339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F298406-FDEC-488F-AC46-404D3926C940}" type="CELLRANGE">
                      <a:rPr lang="en-US" baseline="0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; </a:t>
                    </a:r>
                    <a:fld id="{F537DD5F-35C4-486D-9749-0254A3C824EB}" type="YVALUE">
                      <a:rPr lang="en-US" baseline="0"/>
                      <a:pPr>
                        <a:defRPr/>
                      </a:pPr>
                      <a:t>[VALOR DE Y]</a:t>
                    </a:fld>
                    <a:endParaRPr lang="en-US" baseline="0"/>
                  </a:p>
                </c:rich>
              </c:tx>
              <c:spPr>
                <a:solidFill>
                  <a:sysClr val="windowText" lastClr="000000">
                    <a:lumMod val="15000"/>
                    <a:lumOff val="85000"/>
                  </a:sysClr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5.4490071698915211E-2"/>
                      <c:h val="6.950676425977038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E397-4BCD-A161-A26E6414E688}"/>
                </c:ext>
              </c:extLst>
            </c:dLbl>
            <c:dLbl>
              <c:idx val="5"/>
              <c:layout>
                <c:manualLayout>
                  <c:x val="-3.5463444393972497E-2"/>
                  <c:y val="-5.1620286822799011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212AA1B-EAEE-40A1-A601-BEAEFB0E09ED}" type="CELLRANGE">
                      <a:rPr lang="en-US" baseline="0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; </a:t>
                    </a:r>
                    <a:fld id="{77BDA745-3DC8-4083-B48A-7AC8C923D0A3}" type="YVALUE">
                      <a:rPr lang="en-US" baseline="0"/>
                      <a:pPr>
                        <a:defRPr/>
                      </a:pPr>
                      <a:t>[VALOR DE Y]</a:t>
                    </a:fld>
                    <a:endParaRPr lang="en-US" baseline="0"/>
                  </a:p>
                </c:rich>
              </c:tx>
              <c:spPr>
                <a:solidFill>
                  <a:sysClr val="windowText" lastClr="000000">
                    <a:lumMod val="15000"/>
                    <a:lumOff val="85000"/>
                  </a:sysClr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5.1110032750476458E-2"/>
                      <c:h val="6.797711329213530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E397-4BCD-A161-A26E6414E688}"/>
                </c:ext>
              </c:extLst>
            </c:dLbl>
            <c:dLbl>
              <c:idx val="6"/>
              <c:layout>
                <c:manualLayout>
                  <c:x val="-2.7020674084732462E-2"/>
                  <c:y val="-5.0975369291803657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1C97D19-FDA4-41F1-A52A-0A7D2EDF00E9}" type="CELLRANGE">
                      <a:rPr lang="en-US" baseline="0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; </a:t>
                    </a:r>
                    <a:fld id="{24697443-1DCC-4F99-B14C-9B40C2331A03}" type="YVALUE">
                      <a:rPr lang="en-US" baseline="0"/>
                      <a:pPr>
                        <a:defRPr/>
                      </a:pPr>
                      <a:t>[VALOR DE Y]</a:t>
                    </a:fld>
                    <a:endParaRPr lang="en-US" baseline="0"/>
                  </a:p>
                </c:rich>
              </c:tx>
              <c:spPr>
                <a:solidFill>
                  <a:sysClr val="windowText" lastClr="000000">
                    <a:lumMod val="15000"/>
                    <a:lumOff val="85000"/>
                  </a:sysClr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4.7688835848249497E-2"/>
                      <c:h val="5.102153908005330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E397-4BCD-A161-A26E6414E688}"/>
                </c:ext>
              </c:extLst>
            </c:dLbl>
            <c:dLbl>
              <c:idx val="7"/>
              <c:layout>
                <c:manualLayout>
                  <c:x val="-4.5455006200993936E-2"/>
                  <c:y val="-6.2257146294528651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ADF3428-2128-4F40-B116-91BFD3234592}" type="CELLRANGE">
                      <a:rPr lang="en-US" baseline="0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; </a:t>
                    </a:r>
                    <a:fld id="{CE631418-9A62-4FCB-BE82-E8B262C81E4E}" type="YVALUE">
                      <a:rPr lang="en-US" baseline="0"/>
                      <a:pPr>
                        <a:defRPr/>
                      </a:pPr>
                      <a:t>[VALOR DE Y]</a:t>
                    </a:fld>
                    <a:endParaRPr lang="en-US" baseline="0"/>
                  </a:p>
                </c:rich>
              </c:tx>
              <c:spPr>
                <a:solidFill>
                  <a:sysClr val="windowText" lastClr="000000">
                    <a:lumMod val="15000"/>
                    <a:lumOff val="85000"/>
                  </a:sysClr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4.7618262352534912E-2"/>
                      <c:h val="6.805235190908830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E397-4BCD-A161-A26E6414E688}"/>
                </c:ext>
              </c:extLst>
            </c:dLbl>
            <c:dLbl>
              <c:idx val="8"/>
              <c:layout>
                <c:manualLayout>
                  <c:x val="-8.5120904357014637E-2"/>
                  <c:y val="-3.0802353345013939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70EA11F-566A-4E60-882A-0A1204C476CA}" type="CELLRANGE">
                      <a:rPr lang="en-US" baseline="0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; </a:t>
                    </a:r>
                    <a:fld id="{9C3003F5-31CE-49B8-A449-CA0FE9E74344}" type="YVALUE">
                      <a:rPr lang="en-US" baseline="0"/>
                      <a:pPr>
                        <a:defRPr/>
                      </a:pPr>
                      <a:t>[VALOR DE Y]</a:t>
                    </a:fld>
                    <a:endParaRPr lang="en-US" baseline="0"/>
                  </a:p>
                </c:rich>
              </c:tx>
              <c:spPr>
                <a:solidFill>
                  <a:sysClr val="windowText" lastClr="000000">
                    <a:lumMod val="15000"/>
                    <a:lumOff val="85000"/>
                  </a:sysClr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4.6599871876304461E-2"/>
                      <c:h val="4.023853666139644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E397-4BCD-A161-A26E6414E688}"/>
                </c:ext>
              </c:extLst>
            </c:dLbl>
            <c:dLbl>
              <c:idx val="9"/>
              <c:layout>
                <c:manualLayout>
                  <c:x val="-2.0935703694787672E-2"/>
                  <c:y val="-5.5221613124489428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C6E1BE3-360F-40CA-B51D-E72BC165CD07}" type="CELLRANGE">
                      <a:rPr lang="en-US" baseline="0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; </a:t>
                    </a:r>
                    <a:fld id="{C5A642DA-9D1E-4B2F-88F5-276D3FD265F1}" type="YVALUE">
                      <a:rPr lang="en-US" baseline="0"/>
                      <a:pPr>
                        <a:defRPr/>
                      </a:pPr>
                      <a:t>[VALOR DE Y]</a:t>
                    </a:fld>
                    <a:endParaRPr lang="en-US" baseline="0"/>
                  </a:p>
                </c:rich>
              </c:tx>
              <c:spPr>
                <a:solidFill>
                  <a:sysClr val="windowText" lastClr="000000">
                    <a:lumMod val="15000"/>
                    <a:lumOff val="85000"/>
                  </a:sysClr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5.5656537162638527E-2"/>
                      <c:h val="7.41280633542504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E397-4BCD-A161-A26E6414E688}"/>
                </c:ext>
              </c:extLst>
            </c:dLbl>
            <c:dLbl>
              <c:idx val="10"/>
              <c:layout>
                <c:manualLayout>
                  <c:x val="-7.7916687238083024E-2"/>
                  <c:y val="5.6057389014529307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DC8B350-57B2-41FF-9350-28B9CACE8EFF}" type="CELLRANGE">
                      <a:rPr lang="en-US" baseline="0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; </a:t>
                    </a:r>
                    <a:fld id="{35283460-0A23-48BA-A7F3-2874A220C3B3}" type="YVALUE">
                      <a:rPr lang="en-US" baseline="0"/>
                      <a:pPr>
                        <a:defRPr/>
                      </a:pPr>
                      <a:t>[VALOR DE Y]</a:t>
                    </a:fld>
                    <a:endParaRPr lang="en-US" baseline="0"/>
                  </a:p>
                </c:rich>
              </c:tx>
              <c:spPr>
                <a:solidFill>
                  <a:sysClr val="windowText" lastClr="000000">
                    <a:lumMod val="15000"/>
                    <a:lumOff val="85000"/>
                  </a:sysClr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4.9561929010883708E-2"/>
                      <c:h val="6.334503213379691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E397-4BCD-A161-A26E6414E688}"/>
                </c:ext>
              </c:extLst>
            </c:dLbl>
            <c:dLbl>
              <c:idx val="11"/>
              <c:layout>
                <c:manualLayout>
                  <c:x val="-4.2600410500880787E-2"/>
                  <c:y val="5.9205876448780295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BD256F4-88F3-4384-B456-3D68B74F8BCD}" type="CELLRANGE">
                      <a:rPr lang="en-US" baseline="0"/>
                      <a:pPr>
                        <a:defRPr/>
                      </a:pPr>
                      <a:t>[CELLRANGE]</a:t>
                    </a:fld>
                    <a:r>
                      <a:rPr lang="en-US" baseline="0"/>
                      <a:t>; </a:t>
                    </a:r>
                    <a:fld id="{5E1EA376-5609-409C-8A87-9D040F4180E1}" type="YVALUE">
                      <a:rPr lang="en-US" baseline="0"/>
                      <a:pPr>
                        <a:defRPr/>
                      </a:pPr>
                      <a:t>[VALOR DE Y]</a:t>
                    </a:fld>
                    <a:endParaRPr lang="en-US" baseline="0"/>
                  </a:p>
                </c:rich>
              </c:tx>
              <c:spPr>
                <a:solidFill>
                  <a:sysClr val="windowText" lastClr="000000">
                    <a:lumMod val="15000"/>
                    <a:lumOff val="85000"/>
                  </a:sysClr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5.1704557010394683E-2"/>
                      <c:h val="7.41280633542504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E397-4BCD-A161-A26E6414E688}"/>
                </c:ext>
              </c:extLst>
            </c:dLbl>
            <c:spPr>
              <a:solidFill>
                <a:sysClr val="windowText" lastClr="000000">
                  <a:lumMod val="15000"/>
                  <a:lumOff val="8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exp"/>
            <c:dispRSqr val="0"/>
            <c:dispEq val="0"/>
          </c:trendline>
          <c:xVal>
            <c:numRef>
              <c:f>'Valoracion de cargos'!$I$2:$I$13</c:f>
              <c:numCache>
                <c:formatCode>General</c:formatCode>
                <c:ptCount val="12"/>
                <c:pt idx="0">
                  <c:v>1088</c:v>
                </c:pt>
                <c:pt idx="1">
                  <c:v>1108</c:v>
                </c:pt>
                <c:pt idx="2">
                  <c:v>1487</c:v>
                </c:pt>
                <c:pt idx="3">
                  <c:v>402</c:v>
                </c:pt>
                <c:pt idx="4">
                  <c:v>488</c:v>
                </c:pt>
                <c:pt idx="5">
                  <c:v>369</c:v>
                </c:pt>
                <c:pt idx="6">
                  <c:v>674</c:v>
                </c:pt>
                <c:pt idx="7">
                  <c:v>344</c:v>
                </c:pt>
                <c:pt idx="8">
                  <c:v>251</c:v>
                </c:pt>
                <c:pt idx="9">
                  <c:v>483</c:v>
                </c:pt>
                <c:pt idx="10">
                  <c:v>153</c:v>
                </c:pt>
                <c:pt idx="11">
                  <c:v>275</c:v>
                </c:pt>
              </c:numCache>
            </c:numRef>
          </c:xVal>
          <c:yVal>
            <c:numRef>
              <c:f>'Valoracion de cargos'!$J$2:$J$13</c:f>
              <c:numCache>
                <c:formatCode>_(* #,##0_);_(* \(#,##0\);_(* "-"_);_(@_)</c:formatCode>
                <c:ptCount val="12"/>
                <c:pt idx="0">
                  <c:v>3500000</c:v>
                </c:pt>
                <c:pt idx="1">
                  <c:v>6500000</c:v>
                </c:pt>
                <c:pt idx="2">
                  <c:v>10000000</c:v>
                </c:pt>
                <c:pt idx="3">
                  <c:v>1950905</c:v>
                </c:pt>
                <c:pt idx="4">
                  <c:v>2250738</c:v>
                </c:pt>
                <c:pt idx="5">
                  <c:v>2417872</c:v>
                </c:pt>
                <c:pt idx="6">
                  <c:v>3500000</c:v>
                </c:pt>
                <c:pt idx="7">
                  <c:v>1950905</c:v>
                </c:pt>
                <c:pt idx="8">
                  <c:v>1950905</c:v>
                </c:pt>
                <c:pt idx="9">
                  <c:v>3000000</c:v>
                </c:pt>
                <c:pt idx="10">
                  <c:v>1950905</c:v>
                </c:pt>
                <c:pt idx="11">
                  <c:v>1750905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'Valoracion de cargos'!$B$2:$B$13</c15:f>
                <c15:dlblRangeCache>
                  <c:ptCount val="12"/>
                  <c:pt idx="0">
                    <c:v>Contador</c:v>
                  </c:pt>
                  <c:pt idx="1">
                    <c:v>Jefe de Planta</c:v>
                  </c:pt>
                  <c:pt idx="2">
                    <c:v>Director comercial</c:v>
                  </c:pt>
                  <c:pt idx="3">
                    <c:v>Analista de Inventarios</c:v>
                  </c:pt>
                  <c:pt idx="4">
                    <c:v>Analista de Cartera</c:v>
                  </c:pt>
                  <c:pt idx="5">
                    <c:v>Asesor comercial</c:v>
                  </c:pt>
                  <c:pt idx="6">
                    <c:v>Logístico</c:v>
                  </c:pt>
                  <c:pt idx="7">
                    <c:v>Aux Contable</c:v>
                  </c:pt>
                  <c:pt idx="8">
                    <c:v>Facturacion</c:v>
                  </c:pt>
                  <c:pt idx="9">
                    <c:v>Supervisor de Planta</c:v>
                  </c:pt>
                  <c:pt idx="10">
                    <c:v>Operario Planta</c:v>
                  </c:pt>
                  <c:pt idx="11">
                    <c:v>Auxiliar Talento Humano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E397-4BCD-A161-A26E6414E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959311"/>
        <c:axId val="1360954511"/>
      </c:scatterChart>
      <c:valAx>
        <c:axId val="1360959311"/>
        <c:scaling>
          <c:orientation val="minMax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60954511"/>
        <c:crosses val="autoZero"/>
        <c:crossBetween val="midCat"/>
      </c:valAx>
      <c:valAx>
        <c:axId val="1360954511"/>
        <c:scaling>
          <c:orientation val="minMax"/>
          <c:max val="10000000"/>
          <c:min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60959311"/>
        <c:crosses val="autoZero"/>
        <c:crossBetween val="midCat"/>
        <c:majorUnit val="1000000"/>
        <c:minorUnit val="5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CO" sz="2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2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Competitividad Externa: Empresa vs. Mercado Salarial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CO" sz="2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5.3174901036268263E-2"/>
          <c:y val="0.10613560127746477"/>
          <c:w val="0.91694714334755723"/>
          <c:h val="0.79661385036817478"/>
        </c:manualLayout>
      </c:layout>
      <c:lineChart>
        <c:grouping val="standard"/>
        <c:varyColors val="0"/>
        <c:ser>
          <c:idx val="0"/>
          <c:order val="0"/>
          <c:tx>
            <c:strRef>
              <c:f>'Valoracion de cargos'!$N$1</c:f>
              <c:strCache>
                <c:ptCount val="1"/>
                <c:pt idx="0">
                  <c:v>COMPARATIVO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2790064684894626E-3"/>
                  <c:y val="2.20574762252537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BBF-4ED3-84A0-9E4236AA4BE4}"/>
                </c:ext>
              </c:extLst>
            </c:dLbl>
            <c:dLbl>
              <c:idx val="1"/>
              <c:layout>
                <c:manualLayout>
                  <c:x val="-5.0621028892718696E-2"/>
                  <c:y val="-2.21680801290566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BF-4ED3-84A0-9E4236AA4BE4}"/>
                </c:ext>
              </c:extLst>
            </c:dLbl>
            <c:dLbl>
              <c:idx val="2"/>
              <c:layout>
                <c:manualLayout>
                  <c:x val="-2.0422104013354973E-2"/>
                  <c:y val="-1.5517656090339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BF-4ED3-84A0-9E4236AA4BE4}"/>
                </c:ext>
              </c:extLst>
            </c:dLbl>
            <c:dLbl>
              <c:idx val="3"/>
              <c:layout>
                <c:manualLayout>
                  <c:x val="-3.3242920303048484E-2"/>
                  <c:y val="3.32521201935849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BF-4ED3-84A0-9E4236AA4BE4}"/>
                </c:ext>
              </c:extLst>
            </c:dLbl>
            <c:dLbl>
              <c:idx val="4"/>
              <c:layout>
                <c:manualLayout>
                  <c:x val="-1.71941070945687E-2"/>
                  <c:y val="3.5236731429385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BBF-4ED3-84A0-9E4236AA4BE4}"/>
                </c:ext>
              </c:extLst>
            </c:dLbl>
            <c:dLbl>
              <c:idx val="5"/>
              <c:layout>
                <c:manualLayout>
                  <c:x val="-3.6894203252126688E-2"/>
                  <c:y val="-3.31746179236967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BBF-4ED3-84A0-9E4236AA4BE4}"/>
                </c:ext>
              </c:extLst>
            </c:dLbl>
            <c:dLbl>
              <c:idx val="6"/>
              <c:layout>
                <c:manualLayout>
                  <c:x val="-1.1014605661151124E-2"/>
                  <c:y val="-5.5044171398747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BBF-4ED3-84A0-9E4236AA4BE4}"/>
                </c:ext>
              </c:extLst>
            </c:dLbl>
            <c:dLbl>
              <c:idx val="7"/>
              <c:layout>
                <c:manualLayout>
                  <c:x val="-3.6126031841385631E-2"/>
                  <c:y val="3.51260966864286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BBF-4ED3-84A0-9E4236AA4BE4}"/>
                </c:ext>
              </c:extLst>
            </c:dLbl>
            <c:dLbl>
              <c:idx val="8"/>
              <c:layout>
                <c:manualLayout>
                  <c:x val="-6.6940304232828665E-2"/>
                  <c:y val="-4.17101664992093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BBF-4ED3-84A0-9E4236AA4BE4}"/>
                </c:ext>
              </c:extLst>
            </c:dLbl>
            <c:dLbl>
              <c:idx val="9"/>
              <c:layout>
                <c:manualLayout>
                  <c:x val="-3.2776209645822049E-2"/>
                  <c:y val="-1.77344641032453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BBF-4ED3-84A0-9E4236AA4BE4}"/>
                </c:ext>
              </c:extLst>
            </c:dLbl>
            <c:dLbl>
              <c:idx val="10"/>
              <c:layout>
                <c:manualLayout>
                  <c:x val="-3.5988277110263367E-2"/>
                  <c:y val="2.88185041677735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BBF-4ED3-84A0-9E4236AA4BE4}"/>
                </c:ext>
              </c:extLst>
            </c:dLbl>
            <c:dLbl>
              <c:idx val="11"/>
              <c:layout>
                <c:manualLayout>
                  <c:x val="-3.812911172255827E-2"/>
                  <c:y val="-3.97918607912729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BBF-4ED3-84A0-9E4236AA4B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'Valoracion de cargos'!$B$2:$B$13</c:f>
              <c:strCache>
                <c:ptCount val="12"/>
                <c:pt idx="0">
                  <c:v>Contador</c:v>
                </c:pt>
                <c:pt idx="1">
                  <c:v>Jefe de Planta</c:v>
                </c:pt>
                <c:pt idx="2">
                  <c:v>Director comercial</c:v>
                </c:pt>
                <c:pt idx="3">
                  <c:v>Analista de Inventarios</c:v>
                </c:pt>
                <c:pt idx="4">
                  <c:v>Analista de Cartera</c:v>
                </c:pt>
                <c:pt idx="5">
                  <c:v>Asesor comercial</c:v>
                </c:pt>
                <c:pt idx="6">
                  <c:v>Logístico</c:v>
                </c:pt>
                <c:pt idx="7">
                  <c:v>Aux Contable</c:v>
                </c:pt>
                <c:pt idx="8">
                  <c:v>Facturacion</c:v>
                </c:pt>
                <c:pt idx="9">
                  <c:v>Supervisor de Planta</c:v>
                </c:pt>
                <c:pt idx="10">
                  <c:v>Operario Planta</c:v>
                </c:pt>
                <c:pt idx="11">
                  <c:v>Auxiliar Talento Humano</c:v>
                </c:pt>
              </c:strCache>
            </c:strRef>
          </c:cat>
          <c:val>
            <c:numRef>
              <c:f>'Valoracion de cargos'!$N$2:$N$13</c:f>
              <c:numCache>
                <c:formatCode>0.00%</c:formatCode>
                <c:ptCount val="12"/>
                <c:pt idx="0">
                  <c:v>0.90206185567010311</c:v>
                </c:pt>
                <c:pt idx="1">
                  <c:v>1.221582161893465</c:v>
                </c:pt>
                <c:pt idx="2">
                  <c:v>1.3920209359948774</c:v>
                </c:pt>
                <c:pt idx="3">
                  <c:v>0.83777769825365023</c:v>
                </c:pt>
                <c:pt idx="4">
                  <c:v>0.95545691240979203</c:v>
                </c:pt>
                <c:pt idx="5">
                  <c:v>1.1179742602622802</c:v>
                </c:pt>
                <c:pt idx="6">
                  <c:v>1.0396039603960396</c:v>
                </c:pt>
                <c:pt idx="7">
                  <c:v>0.86444354183590566</c:v>
                </c:pt>
                <c:pt idx="8">
                  <c:v>1.0357130469744309</c:v>
                </c:pt>
                <c:pt idx="9">
                  <c:v>1.2444100065497448</c:v>
                </c:pt>
                <c:pt idx="10">
                  <c:v>0.99601760754893198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BBF-4ED3-84A0-9E4236AA4BE4}"/>
            </c:ext>
          </c:extLst>
        </c:ser>
        <c:ser>
          <c:idx val="1"/>
          <c:order val="1"/>
          <c:tx>
            <c:strRef>
              <c:f>'Valoracion de cargos'!$O$2:$O$9</c:f>
              <c:strCache>
                <c:ptCount val="8"/>
                <c:pt idx="0">
                  <c:v>100%</c:v>
                </c:pt>
                <c:pt idx="1">
                  <c:v>100%</c:v>
                </c:pt>
                <c:pt idx="2">
                  <c:v>100%</c:v>
                </c:pt>
                <c:pt idx="3">
                  <c:v>100%</c:v>
                </c:pt>
                <c:pt idx="4">
                  <c:v>100%</c:v>
                </c:pt>
                <c:pt idx="5">
                  <c:v>100%</c:v>
                </c:pt>
                <c:pt idx="6">
                  <c:v>100%</c:v>
                </c:pt>
                <c:pt idx="7">
                  <c:v>100%</c:v>
                </c:pt>
              </c:strCache>
            </c:strRef>
          </c:tx>
          <c:spPr>
            <a:ln w="50800" cap="rnd" cmpd="dbl">
              <a:solidFill>
                <a:srgbClr val="00B050">
                  <a:alpha val="95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val>
            <c:numRef>
              <c:f>'Valoracion de cargos'!$O$2:$O$13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BBF-4ED3-84A0-9E4236AA4BE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0240799"/>
        <c:axId val="170228319"/>
      </c:lineChart>
      <c:catAx>
        <c:axId val="17024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>
            <a:innerShdw blurRad="63500" dist="50800" dir="5400000">
              <a:prstClr val="black">
                <a:alpha val="50000"/>
              </a:prstClr>
            </a:innerShdw>
          </a:effectLst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0228319"/>
        <c:crossesAt val="0"/>
        <c:auto val="1"/>
        <c:lblAlgn val="ctr"/>
        <c:lblOffset val="100"/>
        <c:noMultiLvlLbl val="0"/>
      </c:catAx>
      <c:valAx>
        <c:axId val="170228319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rgbClr val="0070C0">
                  <a:alpha val="46000"/>
                </a:srgb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024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505310</xdr:colOff>
      <xdr:row>14</xdr:row>
      <xdr:rowOff>148771</xdr:rowOff>
    </xdr:from>
    <xdr:to>
      <xdr:col>13</xdr:col>
      <xdr:colOff>504265</xdr:colOff>
      <xdr:row>37</xdr:row>
      <xdr:rowOff>11206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42F911-CD82-4E9D-B86B-60B6B1C65A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72675</xdr:colOff>
      <xdr:row>37</xdr:row>
      <xdr:rowOff>178830</xdr:rowOff>
    </xdr:from>
    <xdr:to>
      <xdr:col>12</xdr:col>
      <xdr:colOff>352424</xdr:colOff>
      <xdr:row>56</xdr:row>
      <xdr:rowOff>119062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A5CEBD7-9487-4665-827E-C8C24ED60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i%20unidad\CONTABILIDAD\VALORACION%20Y%20PERFILES%20DE%20CARGO\01.Perfiles%20y%20valoracion%20de%20cargo.xlsx" TargetMode="External"/><Relationship Id="rId1" Type="http://schemas.openxmlformats.org/officeDocument/2006/relationships/externalLinkPath" Target="file:///G:\Mi%20unidad\CONTABILIDAD\VALORACION%20Y%20PERFILES%20DE%20CARGO\01.Perfiles%20y%20valoracion%20de%20car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medio salarios en el mercado"/>
      <sheetName val="1.Analista de cartera"/>
      <sheetName val="2.Analista de inventario"/>
      <sheetName val="3.Asesor comercial"/>
      <sheetName val="4.Auxiliar contable"/>
      <sheetName val="5.Auxiliar de facturacion"/>
      <sheetName val="6.Auxiliar de talento humano"/>
      <sheetName val="7.Contador"/>
      <sheetName val="8.Jefe de planta"/>
      <sheetName val="9.Jefe de ventas"/>
      <sheetName val="10.Logistico"/>
      <sheetName val="11.Operario de planta"/>
      <sheetName val="12.Supervisor de planta"/>
      <sheetName val="Valoracion de cargos"/>
      <sheetName val="Analista de cartera"/>
      <sheetName val="Analista de inventarios"/>
      <sheetName val="Auxiliar Contable"/>
      <sheetName val="Auxiliar de facturacion"/>
      <sheetName val="Auxiliar de talento humano"/>
      <sheetName val="Auxiliar de SST"/>
      <sheetName val="Coordinador logistico"/>
      <sheetName val="Contador"/>
      <sheetName val="Jefe de Ventas"/>
      <sheetName val="Jefe de S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J1" t="str">
            <v>SALARIO ACTUAL</v>
          </cell>
          <cell r="N1" t="str">
            <v>COMPARATIVO</v>
          </cell>
        </row>
        <row r="2">
          <cell r="B2" t="str">
            <v>Contador</v>
          </cell>
          <cell r="I2">
            <v>1088</v>
          </cell>
          <cell r="J2">
            <v>3500000</v>
          </cell>
          <cell r="N2">
            <v>0.90206185567010311</v>
          </cell>
          <cell r="O2">
            <v>1</v>
          </cell>
        </row>
        <row r="3">
          <cell r="B3" t="str">
            <v>Jefe de Planta</v>
          </cell>
          <cell r="I3">
            <v>1108</v>
          </cell>
          <cell r="J3">
            <v>6500000</v>
          </cell>
          <cell r="N3">
            <v>1.221582161893465</v>
          </cell>
          <cell r="O3">
            <v>1</v>
          </cell>
        </row>
        <row r="4">
          <cell r="B4" t="str">
            <v>Director comercial</v>
          </cell>
          <cell r="I4">
            <v>1487</v>
          </cell>
          <cell r="J4">
            <v>10000000</v>
          </cell>
          <cell r="N4">
            <v>1.3920209359948774</v>
          </cell>
          <cell r="O4">
            <v>1</v>
          </cell>
        </row>
        <row r="5">
          <cell r="B5" t="str">
            <v>Analista de Inventarios</v>
          </cell>
          <cell r="I5">
            <v>402</v>
          </cell>
          <cell r="J5">
            <v>1950905</v>
          </cell>
          <cell r="N5">
            <v>0.83777769825365023</v>
          </cell>
          <cell r="O5">
            <v>1</v>
          </cell>
        </row>
        <row r="6">
          <cell r="B6" t="str">
            <v>Analista de Cartera</v>
          </cell>
          <cell r="I6">
            <v>488</v>
          </cell>
          <cell r="J6">
            <v>2250738</v>
          </cell>
          <cell r="N6">
            <v>0.95545691240979203</v>
          </cell>
          <cell r="O6">
            <v>1</v>
          </cell>
        </row>
        <row r="7">
          <cell r="B7" t="str">
            <v>Asesor comercial</v>
          </cell>
          <cell r="I7">
            <v>369</v>
          </cell>
          <cell r="J7">
            <v>2417872</v>
          </cell>
          <cell r="N7">
            <v>1.1179742602622802</v>
          </cell>
          <cell r="O7">
            <v>1</v>
          </cell>
        </row>
        <row r="8">
          <cell r="B8" t="str">
            <v>Logístico</v>
          </cell>
          <cell r="I8">
            <v>674</v>
          </cell>
          <cell r="J8">
            <v>3500000</v>
          </cell>
          <cell r="N8">
            <v>1.0396039603960396</v>
          </cell>
          <cell r="O8">
            <v>1</v>
          </cell>
        </row>
        <row r="9">
          <cell r="B9" t="str">
            <v>Aux Contable</v>
          </cell>
          <cell r="I9">
            <v>344</v>
          </cell>
          <cell r="J9">
            <v>1950905</v>
          </cell>
          <cell r="N9">
            <v>0.86444354183590566</v>
          </cell>
          <cell r="O9">
            <v>1</v>
          </cell>
        </row>
        <row r="10">
          <cell r="B10" t="str">
            <v>Facturacion</v>
          </cell>
          <cell r="I10">
            <v>251</v>
          </cell>
          <cell r="J10">
            <v>1950905</v>
          </cell>
          <cell r="N10">
            <v>1.0357130469744309</v>
          </cell>
          <cell r="O10">
            <v>1</v>
          </cell>
        </row>
        <row r="11">
          <cell r="B11" t="str">
            <v>Supervisor de Planta</v>
          </cell>
          <cell r="I11">
            <v>483</v>
          </cell>
          <cell r="J11">
            <v>3000000</v>
          </cell>
          <cell r="N11">
            <v>1.2444100065497448</v>
          </cell>
          <cell r="O11">
            <v>1</v>
          </cell>
        </row>
        <row r="12">
          <cell r="B12" t="str">
            <v>Operario Planta</v>
          </cell>
          <cell r="I12">
            <v>153</v>
          </cell>
          <cell r="J12">
            <v>1950905</v>
          </cell>
          <cell r="N12">
            <v>0.99601760754893198</v>
          </cell>
          <cell r="O12">
            <v>1</v>
          </cell>
        </row>
        <row r="13">
          <cell r="B13" t="str">
            <v>Auxiliar Talento Humano</v>
          </cell>
          <cell r="I13">
            <v>275</v>
          </cell>
          <cell r="J13">
            <v>1750905</v>
          </cell>
          <cell r="N13">
            <v>1</v>
          </cell>
          <cell r="O13">
            <v>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A0BF-FD91-4A76-97ED-B407CF6FD1F4}">
  <sheetPr>
    <tabColor theme="4" tint="0.79998168889431442"/>
  </sheetPr>
  <dimension ref="B1:Q19"/>
  <sheetViews>
    <sheetView showGridLines="0" tabSelected="1" zoomScale="90" zoomScaleNormal="90" workbookViewId="0">
      <selection activeCell="I13" sqref="I13"/>
    </sheetView>
  </sheetViews>
  <sheetFormatPr baseColWidth="10" defaultRowHeight="28.5" customHeight="1" x14ac:dyDescent="0.25"/>
  <cols>
    <col min="2" max="2" width="21.5703125" bestFit="1" customWidth="1"/>
    <col min="3" max="3" width="14.28515625" customWidth="1"/>
    <col min="4" max="4" width="21.5703125" customWidth="1"/>
    <col min="5" max="5" width="22.140625" customWidth="1"/>
    <col min="6" max="6" width="15.7109375" customWidth="1"/>
    <col min="7" max="7" width="17.140625" customWidth="1"/>
    <col min="8" max="8" width="14.28515625" customWidth="1"/>
    <col min="10" max="12" width="12.42578125" customWidth="1"/>
    <col min="17" max="17" width="13.42578125" customWidth="1"/>
  </cols>
  <sheetData>
    <row r="1" spans="2:17" s="2" customFormat="1" ht="78.75" customHeight="1" thickBo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2:17" ht="28.5" customHeight="1" thickBot="1" x14ac:dyDescent="0.3">
      <c r="B2" s="3" t="s">
        <v>14</v>
      </c>
      <c r="C2" s="4">
        <v>175</v>
      </c>
      <c r="D2" s="4">
        <v>111</v>
      </c>
      <c r="E2" s="4">
        <v>115</v>
      </c>
      <c r="F2" s="4">
        <v>205</v>
      </c>
      <c r="G2" s="4">
        <v>178</v>
      </c>
      <c r="H2" s="4">
        <v>304</v>
      </c>
      <c r="I2" s="4">
        <f t="shared" ref="I2:I13" si="0">SUM(C2:H2)</f>
        <v>1088</v>
      </c>
      <c r="J2" s="5">
        <v>3500000</v>
      </c>
      <c r="K2" s="6">
        <f>J2/I2</f>
        <v>3216.9117647058824</v>
      </c>
      <c r="L2" s="6" t="str">
        <f>IF(K2&lt;45000, "Subpagado", IF(K2&gt;65000, "Sobrepagado", "Equilibrado"))</f>
        <v>Subpagado</v>
      </c>
      <c r="M2" s="5">
        <v>3880000</v>
      </c>
      <c r="N2" s="7">
        <f>J2/M2</f>
        <v>0.90206185567010311</v>
      </c>
      <c r="O2" s="8">
        <v>1</v>
      </c>
      <c r="Q2" s="9"/>
    </row>
    <row r="3" spans="2:17" ht="28.5" customHeight="1" thickBot="1" x14ac:dyDescent="0.3">
      <c r="B3" s="3" t="s">
        <v>15</v>
      </c>
      <c r="C3" s="4">
        <v>175</v>
      </c>
      <c r="D3" s="4">
        <v>122</v>
      </c>
      <c r="E3" s="4">
        <v>132</v>
      </c>
      <c r="F3" s="4">
        <v>197</v>
      </c>
      <c r="G3" s="4">
        <v>178</v>
      </c>
      <c r="H3" s="4">
        <v>304</v>
      </c>
      <c r="I3" s="4">
        <f t="shared" si="0"/>
        <v>1108</v>
      </c>
      <c r="J3" s="5">
        <v>6500000</v>
      </c>
      <c r="K3" s="6">
        <f t="shared" ref="K3:K13" si="1">J3/I3</f>
        <v>5866.425992779783</v>
      </c>
      <c r="L3" s="6" t="str">
        <f>IF(K3&lt;45000, "Subpagado", IF(K3&gt;65000, "Sobrepagado", "Equilibrado"))</f>
        <v>Subpagado</v>
      </c>
      <c r="M3" s="5">
        <v>5320968.333333333</v>
      </c>
      <c r="N3" s="7">
        <f t="shared" ref="N3:N13" si="2">J3/M3</f>
        <v>1.221582161893465</v>
      </c>
      <c r="O3" s="8">
        <v>1</v>
      </c>
    </row>
    <row r="4" spans="2:17" ht="28.5" customHeight="1" thickBot="1" x14ac:dyDescent="0.3">
      <c r="B4" s="3" t="s">
        <v>16</v>
      </c>
      <c r="C4" s="4">
        <v>175</v>
      </c>
      <c r="D4" s="4">
        <v>111</v>
      </c>
      <c r="E4" s="4">
        <v>230</v>
      </c>
      <c r="F4" s="4">
        <v>289</v>
      </c>
      <c r="G4" s="4">
        <v>222</v>
      </c>
      <c r="H4" s="4">
        <v>460</v>
      </c>
      <c r="I4" s="4">
        <f t="shared" si="0"/>
        <v>1487</v>
      </c>
      <c r="J4" s="5">
        <v>10000000</v>
      </c>
      <c r="K4" s="6">
        <f t="shared" si="1"/>
        <v>6724.9495628782788</v>
      </c>
      <c r="L4" s="6" t="str">
        <f t="shared" ref="L4:L13" si="3">IF(K4&lt;45000, "Subpagado", IF(K4&gt;65000, "Sobrepagado", "Equilibrado"))</f>
        <v>Subpagado</v>
      </c>
      <c r="M4" s="5">
        <v>7183800</v>
      </c>
      <c r="N4" s="7">
        <f t="shared" si="2"/>
        <v>1.3920209359948774</v>
      </c>
      <c r="O4" s="8">
        <v>1</v>
      </c>
    </row>
    <row r="5" spans="2:17" ht="28.5" customHeight="1" thickBot="1" x14ac:dyDescent="0.3">
      <c r="B5" s="3" t="s">
        <v>17</v>
      </c>
      <c r="C5" s="4">
        <v>100</v>
      </c>
      <c r="D5" s="4">
        <v>57</v>
      </c>
      <c r="E5" s="4">
        <v>50</v>
      </c>
      <c r="F5" s="4">
        <v>62</v>
      </c>
      <c r="G5" s="4">
        <v>76</v>
      </c>
      <c r="H5" s="4">
        <v>57</v>
      </c>
      <c r="I5" s="4">
        <f t="shared" si="0"/>
        <v>402</v>
      </c>
      <c r="J5" s="5">
        <v>1950905</v>
      </c>
      <c r="K5" s="6">
        <f t="shared" si="1"/>
        <v>4852.9975124378107</v>
      </c>
      <c r="L5" s="6" t="str">
        <f t="shared" si="3"/>
        <v>Subpagado</v>
      </c>
      <c r="M5" s="5">
        <v>2328666.6666666665</v>
      </c>
      <c r="N5" s="7">
        <f t="shared" si="2"/>
        <v>0.83777769825365023</v>
      </c>
      <c r="O5" s="8">
        <v>1</v>
      </c>
    </row>
    <row r="6" spans="2:17" ht="28.5" customHeight="1" thickBot="1" x14ac:dyDescent="0.3">
      <c r="B6" s="3" t="s">
        <v>18</v>
      </c>
      <c r="C6" s="10">
        <v>100</v>
      </c>
      <c r="D6" s="4">
        <v>57</v>
      </c>
      <c r="E6" s="4">
        <v>100</v>
      </c>
      <c r="F6" s="4">
        <v>59</v>
      </c>
      <c r="G6" s="4">
        <v>115</v>
      </c>
      <c r="H6" s="4">
        <v>57</v>
      </c>
      <c r="I6" s="4">
        <f t="shared" si="0"/>
        <v>488</v>
      </c>
      <c r="J6" s="5">
        <v>2250738</v>
      </c>
      <c r="K6" s="6">
        <f t="shared" si="1"/>
        <v>4612.1680327868853</v>
      </c>
      <c r="L6" s="6" t="str">
        <f t="shared" si="3"/>
        <v>Subpagado</v>
      </c>
      <c r="M6" s="5">
        <v>2355666.6666666665</v>
      </c>
      <c r="N6" s="7">
        <f t="shared" si="2"/>
        <v>0.95545691240979203</v>
      </c>
      <c r="O6" s="8">
        <v>1</v>
      </c>
    </row>
    <row r="7" spans="2:17" ht="28.5" customHeight="1" thickBot="1" x14ac:dyDescent="0.3">
      <c r="B7" s="3" t="s">
        <v>19</v>
      </c>
      <c r="C7" s="4">
        <v>76</v>
      </c>
      <c r="D7" s="4">
        <v>0</v>
      </c>
      <c r="E7" s="4">
        <v>100</v>
      </c>
      <c r="F7" s="4">
        <v>40</v>
      </c>
      <c r="G7" s="4">
        <v>115</v>
      </c>
      <c r="H7" s="4">
        <v>38</v>
      </c>
      <c r="I7" s="4">
        <f t="shared" si="0"/>
        <v>369</v>
      </c>
      <c r="J7" s="5">
        <v>2417872</v>
      </c>
      <c r="K7" s="6">
        <f t="shared" si="1"/>
        <v>6552.49864498645</v>
      </c>
      <c r="L7" s="6" t="str">
        <f t="shared" si="3"/>
        <v>Subpagado</v>
      </c>
      <c r="M7" s="5">
        <v>2162726</v>
      </c>
      <c r="N7" s="7">
        <f t="shared" si="2"/>
        <v>1.1179742602622802</v>
      </c>
      <c r="O7" s="8">
        <v>1</v>
      </c>
    </row>
    <row r="8" spans="2:17" ht="28.5" customHeight="1" thickBot="1" x14ac:dyDescent="0.3">
      <c r="B8" s="3" t="s">
        <v>20</v>
      </c>
      <c r="C8" s="4">
        <v>132</v>
      </c>
      <c r="D8" s="4">
        <v>83</v>
      </c>
      <c r="E8" s="4">
        <v>132</v>
      </c>
      <c r="F8" s="4">
        <v>118</v>
      </c>
      <c r="G8" s="4">
        <v>133</v>
      </c>
      <c r="H8" s="4">
        <v>76</v>
      </c>
      <c r="I8" s="4">
        <f t="shared" si="0"/>
        <v>674</v>
      </c>
      <c r="J8" s="5">
        <v>3500000</v>
      </c>
      <c r="K8" s="6">
        <f t="shared" si="1"/>
        <v>5192.8783382789316</v>
      </c>
      <c r="L8" s="6" t="str">
        <f t="shared" si="3"/>
        <v>Subpagado</v>
      </c>
      <c r="M8" s="5">
        <v>3366666.6666666665</v>
      </c>
      <c r="N8" s="7">
        <f t="shared" si="2"/>
        <v>1.0396039603960396</v>
      </c>
      <c r="O8" s="8">
        <v>1</v>
      </c>
    </row>
    <row r="9" spans="2:17" ht="28.5" customHeight="1" thickBot="1" x14ac:dyDescent="0.3">
      <c r="B9" s="3" t="s">
        <v>21</v>
      </c>
      <c r="C9" s="4">
        <v>100</v>
      </c>
      <c r="D9" s="4">
        <v>57</v>
      </c>
      <c r="E9" s="4">
        <v>57</v>
      </c>
      <c r="F9" s="4">
        <v>58</v>
      </c>
      <c r="G9" s="4">
        <v>43</v>
      </c>
      <c r="H9" s="4">
        <v>29</v>
      </c>
      <c r="I9" s="4">
        <f t="shared" si="0"/>
        <v>344</v>
      </c>
      <c r="J9" s="5">
        <v>1950905</v>
      </c>
      <c r="K9" s="6">
        <f t="shared" si="1"/>
        <v>5671.2354651162786</v>
      </c>
      <c r="L9" s="6" t="str">
        <f t="shared" si="3"/>
        <v>Subpagado</v>
      </c>
      <c r="M9" s="5">
        <v>2256833.3333333335</v>
      </c>
      <c r="N9" s="7">
        <f t="shared" si="2"/>
        <v>0.86444354183590566</v>
      </c>
      <c r="O9" s="8">
        <v>1</v>
      </c>
    </row>
    <row r="10" spans="2:17" ht="28.5" customHeight="1" thickBot="1" x14ac:dyDescent="0.3">
      <c r="B10" s="3" t="s">
        <v>22</v>
      </c>
      <c r="C10" s="4">
        <v>66</v>
      </c>
      <c r="D10" s="4">
        <v>43</v>
      </c>
      <c r="E10" s="4">
        <v>57</v>
      </c>
      <c r="F10" s="4">
        <v>23</v>
      </c>
      <c r="G10" s="4">
        <v>43</v>
      </c>
      <c r="H10" s="4">
        <v>19</v>
      </c>
      <c r="I10" s="4">
        <f t="shared" si="0"/>
        <v>251</v>
      </c>
      <c r="J10" s="5">
        <v>1950905</v>
      </c>
      <c r="K10" s="6">
        <f t="shared" si="1"/>
        <v>7772.5298804780878</v>
      </c>
      <c r="L10" s="6" t="str">
        <f t="shared" si="3"/>
        <v>Subpagado</v>
      </c>
      <c r="M10" s="5">
        <v>1883634.6666666667</v>
      </c>
      <c r="N10" s="7">
        <f t="shared" si="2"/>
        <v>1.0357130469744309</v>
      </c>
      <c r="O10" s="8">
        <v>1</v>
      </c>
    </row>
    <row r="11" spans="2:17" ht="28.5" customHeight="1" thickBot="1" x14ac:dyDescent="0.3">
      <c r="B11" s="3" t="s">
        <v>23</v>
      </c>
      <c r="C11" s="4">
        <v>100</v>
      </c>
      <c r="D11" s="4">
        <v>69</v>
      </c>
      <c r="E11" s="4">
        <v>76</v>
      </c>
      <c r="F11" s="4">
        <v>74</v>
      </c>
      <c r="G11" s="4">
        <v>88</v>
      </c>
      <c r="H11" s="4">
        <v>76</v>
      </c>
      <c r="I11" s="4">
        <f t="shared" si="0"/>
        <v>483</v>
      </c>
      <c r="J11" s="5">
        <v>3000000</v>
      </c>
      <c r="K11" s="6">
        <f t="shared" si="1"/>
        <v>6211.1801242236024</v>
      </c>
      <c r="L11" s="6" t="str">
        <f t="shared" si="3"/>
        <v>Subpagado</v>
      </c>
      <c r="M11" s="5">
        <v>2410781</v>
      </c>
      <c r="N11" s="7">
        <f t="shared" si="2"/>
        <v>1.2444100065497448</v>
      </c>
      <c r="O11" s="8">
        <v>1</v>
      </c>
    </row>
    <row r="12" spans="2:17" ht="28.5" customHeight="1" thickBot="1" x14ac:dyDescent="0.3">
      <c r="B12" s="3" t="s">
        <v>24</v>
      </c>
      <c r="C12" s="4">
        <v>76</v>
      </c>
      <c r="D12" s="4">
        <v>0</v>
      </c>
      <c r="E12" s="4">
        <v>25</v>
      </c>
      <c r="F12" s="4">
        <v>11</v>
      </c>
      <c r="G12" s="4">
        <v>29</v>
      </c>
      <c r="H12" s="4">
        <v>12</v>
      </c>
      <c r="I12" s="4">
        <f t="shared" si="0"/>
        <v>153</v>
      </c>
      <c r="J12" s="5">
        <v>1950905</v>
      </c>
      <c r="K12" s="6">
        <f t="shared" si="1"/>
        <v>12751.013071895424</v>
      </c>
      <c r="L12" s="6" t="str">
        <f t="shared" si="3"/>
        <v>Subpagado</v>
      </c>
      <c r="M12" s="5">
        <v>1958705.3333333333</v>
      </c>
      <c r="N12" s="7">
        <f t="shared" si="2"/>
        <v>0.99601760754893198</v>
      </c>
      <c r="O12" s="8">
        <v>1</v>
      </c>
    </row>
    <row r="13" spans="2:17" ht="28.5" customHeight="1" thickBot="1" x14ac:dyDescent="0.3">
      <c r="B13" s="3" t="s">
        <v>25</v>
      </c>
      <c r="C13" s="4">
        <v>87</v>
      </c>
      <c r="D13" s="4">
        <v>43</v>
      </c>
      <c r="E13" s="4">
        <v>57</v>
      </c>
      <c r="F13" s="4">
        <v>26</v>
      </c>
      <c r="G13" s="4">
        <v>43</v>
      </c>
      <c r="H13" s="4">
        <v>19</v>
      </c>
      <c r="I13" s="4">
        <f t="shared" si="0"/>
        <v>275</v>
      </c>
      <c r="J13" s="5">
        <v>1750905</v>
      </c>
      <c r="K13" s="6">
        <f t="shared" si="1"/>
        <v>6366.9272727272728</v>
      </c>
      <c r="L13" s="6" t="str">
        <f t="shared" si="3"/>
        <v>Subpagado</v>
      </c>
      <c r="M13" s="5">
        <v>1750905</v>
      </c>
      <c r="N13" s="7">
        <f t="shared" si="2"/>
        <v>1</v>
      </c>
      <c r="O13" s="8">
        <v>1</v>
      </c>
    </row>
    <row r="14" spans="2:17" ht="28.5" customHeight="1" thickBot="1" x14ac:dyDescent="0.3">
      <c r="B14" s="4"/>
      <c r="C14" s="4"/>
      <c r="D14" s="4"/>
      <c r="E14" s="4"/>
      <c r="F14" s="4"/>
      <c r="G14" s="4"/>
      <c r="H14" s="4"/>
      <c r="I14" s="4"/>
      <c r="J14" s="5"/>
      <c r="K14" s="6">
        <f>AVERAGE(K2:K13)</f>
        <v>6315.9763052745584</v>
      </c>
      <c r="L14" s="6"/>
    </row>
    <row r="15" spans="2:17" ht="28.5" customHeight="1" x14ac:dyDescent="0.25">
      <c r="B15" s="11"/>
      <c r="C15" s="11"/>
      <c r="D15" s="11"/>
      <c r="E15" s="11"/>
      <c r="F15" s="11"/>
      <c r="G15" s="11"/>
      <c r="H15" s="11"/>
      <c r="I15" s="11"/>
      <c r="J15" s="12"/>
      <c r="K15" s="13"/>
      <c r="L15" s="13"/>
    </row>
    <row r="16" spans="2:17" ht="28.5" customHeight="1" x14ac:dyDescent="0.25">
      <c r="B16" s="11"/>
      <c r="C16" s="11"/>
      <c r="D16" s="11"/>
      <c r="E16" s="11"/>
      <c r="F16" s="11"/>
      <c r="G16" s="11"/>
      <c r="H16" s="11"/>
      <c r="I16" s="11"/>
      <c r="J16" s="12"/>
      <c r="K16" s="13"/>
      <c r="L16" s="13"/>
    </row>
    <row r="17" spans="2:12" ht="28.5" customHeight="1" x14ac:dyDescent="0.25">
      <c r="B17" s="11"/>
      <c r="C17" s="11"/>
      <c r="D17" s="11"/>
      <c r="E17" s="11"/>
      <c r="F17" s="11"/>
      <c r="G17" s="11"/>
      <c r="H17" s="11"/>
      <c r="I17" s="11"/>
      <c r="J17" s="12"/>
      <c r="K17" s="13"/>
      <c r="L17" s="13"/>
    </row>
    <row r="18" spans="2:12" ht="28.5" customHeight="1" x14ac:dyDescent="0.25">
      <c r="B18" s="11"/>
      <c r="C18" s="11"/>
      <c r="D18" s="11"/>
      <c r="E18" s="11"/>
      <c r="F18" s="11"/>
      <c r="G18" s="11"/>
      <c r="H18" s="11"/>
      <c r="I18" s="11"/>
      <c r="J18" s="12"/>
      <c r="K18" s="13"/>
      <c r="L18" s="13"/>
    </row>
    <row r="19" spans="2:12" ht="28.5" customHeight="1" x14ac:dyDescent="0.25">
      <c r="B19" s="11"/>
      <c r="C19" s="11"/>
      <c r="D19" s="11"/>
      <c r="E19" s="11"/>
      <c r="F19" s="11"/>
      <c r="G19" s="11"/>
      <c r="H19" s="11"/>
      <c r="I19" s="11"/>
      <c r="J19" s="12"/>
      <c r="K19" s="13"/>
      <c r="L19" s="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Valoracion de cargos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2026-04-22T14:45:36Z</dcterms:created>
  <dcterms:modified xsi:type="dcterms:W3CDTF">2026-04-22T14:45:45Z</dcterms:modified>
</cp:coreProperties>
</file>